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ma1df01" sheetId="1" r:id="rId1"/>
    <sheet name="2ma2dfb01" sheetId="2" r:id="rId2"/>
  </sheets>
  <calcPr calcId="124519" fullCalcOnLoad="1"/>
</workbook>
</file>

<file path=xl/sharedStrings.xml><?xml version="1.0" encoding="utf-8"?>
<sst xmlns="http://schemas.openxmlformats.org/spreadsheetml/2006/main" count="84" uniqueCount="43">
  <si>
    <t>Date</t>
  </si>
  <si>
    <t>Name</t>
  </si>
  <si>
    <t>NIP weight</t>
  </si>
  <si>
    <t>S1 weight</t>
  </si>
  <si>
    <t>S2 weight</t>
  </si>
  <si>
    <t>20Apr2020</t>
  </si>
  <si>
    <t>20May2020</t>
  </si>
  <si>
    <t>ExampleExam</t>
  </si>
  <si>
    <t>SecondExam</t>
  </si>
  <si>
    <t>EINSTEIN Albert</t>
  </si>
  <si>
    <t>CRAMER Gabriel</t>
  </si>
  <si>
    <t>CURIE Marie</t>
  </si>
  <si>
    <t>FEYNMANN Richard</t>
  </si>
  <si>
    <t>NIP</t>
  </si>
  <si>
    <t>S1</t>
  </si>
  <si>
    <t>S2</t>
  </si>
  <si>
    <t>Rounded Notes</t>
  </si>
  <si>
    <t>EOY</t>
  </si>
  <si>
    <t>10Jan2021</t>
  </si>
  <si>
    <t>Orals</t>
  </si>
  <si>
    <t>PEREZ Isabella</t>
  </si>
  <si>
    <t>KIM William</t>
  </si>
  <si>
    <t>LEE Sophia</t>
  </si>
  <si>
    <t>MARTINEZ Ethan</t>
  </si>
  <si>
    <t>RIVERA Madison</t>
  </si>
  <si>
    <t>MITCHELL Jacob</t>
  </si>
  <si>
    <t>HERNANDEZ Emily</t>
  </si>
  <si>
    <t>DAVIS Michael</t>
  </si>
  <si>
    <t>COOPER Mia</t>
  </si>
  <si>
    <t>JACKSON Alexander</t>
  </si>
  <si>
    <t>RAMIREZ Ava</t>
  </si>
  <si>
    <t>GREEN Benjamin</t>
  </si>
  <si>
    <t>SMITH Olivia</t>
  </si>
  <si>
    <t>JOHNSON Elijah</t>
  </si>
  <si>
    <t>WILSON Charlotte</t>
  </si>
  <si>
    <t>BROWN Lucas</t>
  </si>
  <si>
    <t>TURNER Emma</t>
  </si>
  <si>
    <t>ADAMS Jayden</t>
  </si>
  <si>
    <t>THOMAS Abigail</t>
  </si>
  <si>
    <t>TAYLOR Daniel</t>
  </si>
  <si>
    <t>CARTER Grace</t>
  </si>
  <si>
    <t>LEE Christopher</t>
  </si>
  <si>
    <t>GONZALEZ Victoria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</si>
</sst>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t="s">
        <v>0</v>
      </c>
      <c r="B1" t="s">
        <v>5</v>
      </c>
      <c r="C1" t="s">
        <v>6</v>
      </c>
    </row>
    <row r="2" spans="1:12">
      <c r="A2" t="s">
        <v>1</v>
      </c>
      <c r="B2" t="s">
        <v>7</v>
      </c>
      <c r="C2" t="s">
        <v>8</v>
      </c>
    </row>
    <row r="3" spans="1:12">
      <c r="A3" t="s">
        <v>2</v>
      </c>
      <c r="B3">
        <v>0</v>
      </c>
      <c r="C3">
        <v>0</v>
      </c>
    </row>
    <row r="4" spans="1:12">
      <c r="A4" t="s">
        <v>3</v>
      </c>
      <c r="B4">
        <v>0</v>
      </c>
      <c r="C4">
        <v>0</v>
      </c>
    </row>
    <row r="5" spans="1:12">
      <c r="A5" t="s">
        <v>4</v>
      </c>
      <c r="B5">
        <v>1</v>
      </c>
      <c r="C5">
        <v>1</v>
      </c>
      <c r="F5">
        <f>IF(SUM($B$3:$C$3)&gt;0,SUM($B$3:$C$3),1)</f>
        <v>0</v>
      </c>
      <c r="G5">
        <f>IF(SUM($B$4:$C$4)&gt;0,SUM($B$4:$C$4),1)</f>
        <v>0</v>
      </c>
      <c r="H5">
        <f>IF(SUM($B$5:$C$5)&gt;0,SUM($B$5:$C$5),1)</f>
        <v>0</v>
      </c>
      <c r="J5" s="1" t="s">
        <v>16</v>
      </c>
    </row>
    <row r="6" spans="1:12">
      <c r="F6" t="s">
        <v>13</v>
      </c>
      <c r="G6" t="s">
        <v>14</v>
      </c>
      <c r="H6" t="s">
        <v>15</v>
      </c>
      <c r="J6" s="1" t="s">
        <v>14</v>
      </c>
      <c r="K6" s="1" t="s">
        <v>15</v>
      </c>
      <c r="L6" s="1" t="s">
        <v>17</v>
      </c>
    </row>
    <row r="7" spans="1:12">
      <c r="A7" t="s">
        <v>9</v>
      </c>
      <c r="B7">
        <v>3</v>
      </c>
      <c r="C7">
        <v>3</v>
      </c>
      <c r="E7" t="s">
        <v>9</v>
      </c>
      <c r="F7" s="1">
        <f>SUMPRODUCT($B$3:$C$3, B7:C7)/F$5</f>
        <v>0</v>
      </c>
      <c r="G7" s="1">
        <f>SUMPRODUCT($B$4:$C$4, B7:C7)/G$5</f>
        <v>0</v>
      </c>
      <c r="H7" s="1">
        <f>SUMPRODUCT($B$5:$C$5, B7:C7)/H$5</f>
        <v>0</v>
      </c>
      <c r="J7" s="1">
        <f>ROUND(G7*10)/10</f>
        <v>0</v>
      </c>
      <c r="K7" s="1">
        <f>ROUND(H7*10)/10</f>
        <v>0</v>
      </c>
      <c r="L7" s="1">
        <f>ROUND(AVERAGE(J7,K7)*10)/10</f>
        <v>0</v>
      </c>
    </row>
    <row r="8" spans="1:12">
      <c r="A8" t="s">
        <v>10</v>
      </c>
      <c r="B8">
        <v>2.5</v>
      </c>
      <c r="C8">
        <v>4.5</v>
      </c>
      <c r="E8" t="s">
        <v>10</v>
      </c>
      <c r="F8" s="1">
        <f>SUMPRODUCT($B$3:$C$3, B8:C8)/F$5</f>
        <v>0</v>
      </c>
      <c r="G8" s="1">
        <f>SUMPRODUCT($B$4:$C$4, B8:C8)/G$5</f>
        <v>0</v>
      </c>
      <c r="H8" s="1">
        <f>SUMPRODUCT($B$5:$C$5, B8:C8)/H$5</f>
        <v>0</v>
      </c>
      <c r="J8" s="1">
        <f>ROUND(G8*10)/10</f>
        <v>0</v>
      </c>
      <c r="K8" s="1">
        <f>ROUND(H8*10)/10</f>
        <v>0</v>
      </c>
      <c r="L8" s="1">
        <f>ROUND(AVERAGE(J8,K8)*10)/10</f>
        <v>0</v>
      </c>
    </row>
    <row r="9" spans="1:12">
      <c r="A9" t="s">
        <v>11</v>
      </c>
      <c r="B9">
        <v>4</v>
      </c>
      <c r="C9">
        <v>3</v>
      </c>
      <c r="E9" t="s">
        <v>11</v>
      </c>
      <c r="F9" s="1">
        <f>SUMPRODUCT($B$3:$C$3, B9:C9)/F$5</f>
        <v>0</v>
      </c>
      <c r="G9" s="1">
        <f>SUMPRODUCT($B$4:$C$4, B9:C9)/G$5</f>
        <v>0</v>
      </c>
      <c r="H9" s="1">
        <f>SUMPRODUCT($B$5:$C$5, B9:C9)/H$5</f>
        <v>0</v>
      </c>
      <c r="J9" s="1">
        <f>ROUND(G9*10)/10</f>
        <v>0</v>
      </c>
      <c r="K9" s="1">
        <f>ROUND(H9*10)/10</f>
        <v>0</v>
      </c>
      <c r="L9" s="1">
        <f>ROUND(AVERAGE(J9,K9)*10)/10</f>
        <v>0</v>
      </c>
    </row>
    <row r="10" spans="1:12">
      <c r="A10" t="s">
        <v>12</v>
      </c>
      <c r="B10">
        <v>6</v>
      </c>
      <c r="C10">
        <v>4</v>
      </c>
      <c r="E10" t="s">
        <v>12</v>
      </c>
      <c r="F10" s="1">
        <f>SUMPRODUCT($B$3:$C$3, B10:C10)/F$5</f>
        <v>0</v>
      </c>
      <c r="G10" s="1">
        <f>SUMPRODUCT($B$4:$C$4, B10:C10)/G$5</f>
        <v>0</v>
      </c>
      <c r="H10" s="1">
        <f>SUMPRODUCT($B$5:$C$5, B10:C10)/H$5</f>
        <v>0</v>
      </c>
      <c r="J10" s="1">
        <f>ROUND(G10*10)/10</f>
        <v>0</v>
      </c>
      <c r="K10" s="1">
        <f>ROUND(H10*10)/10</f>
        <v>0</v>
      </c>
      <c r="L10" s="1">
        <f>ROUND(AVERAGE(J10,K10)*10)/10</f>
        <v>0</v>
      </c>
    </row>
  </sheetData>
  <conditionalFormatting sqref="F7:H10">
    <cfRule type="cellIs" dxfId="0" priority="1" operator="between">
      <formula>-100.0</formula>
      <formula>3.945</formula>
    </cfRule>
  </conditionalFormatting>
  <conditionalFormatting sqref="J7:L10">
    <cfRule type="cellIs" dxfId="0" priority="2" operator="between">
      <formula>-100.0</formula>
      <formula>3.945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A1" t="s">
        <v>0</v>
      </c>
      <c r="B1" t="s">
        <v>18</v>
      </c>
    </row>
    <row r="2" spans="1:11">
      <c r="A2" t="s">
        <v>1</v>
      </c>
      <c r="B2" t="s">
        <v>19</v>
      </c>
    </row>
    <row r="3" spans="1:11">
      <c r="A3" t="s">
        <v>2</v>
      </c>
      <c r="B3">
        <v>1</v>
      </c>
    </row>
    <row r="4" spans="1:11">
      <c r="A4" t="s">
        <v>3</v>
      </c>
      <c r="B4">
        <v>1</v>
      </c>
    </row>
    <row r="5" spans="1:11">
      <c r="A5" t="s">
        <v>4</v>
      </c>
      <c r="B5">
        <v>0</v>
      </c>
      <c r="E5">
        <f>IF(SUM($B$3)&gt;0,SUM($B$3),1)</f>
        <v>0</v>
      </c>
      <c r="F5">
        <f>IF(SUM($B$4)&gt;0,SUM($B$4),1)</f>
        <v>0</v>
      </c>
      <c r="G5">
        <f>IF(SUM($B$5)&gt;0,SUM($B$5),1)</f>
        <v>0</v>
      </c>
      <c r="I5" s="1" t="s">
        <v>16</v>
      </c>
    </row>
    <row r="6" spans="1:11">
      <c r="E6" t="s">
        <v>13</v>
      </c>
      <c r="F6" t="s">
        <v>14</v>
      </c>
      <c r="G6" t="s">
        <v>15</v>
      </c>
      <c r="I6" s="1" t="s">
        <v>14</v>
      </c>
      <c r="J6" s="1" t="s">
        <v>15</v>
      </c>
      <c r="K6" s="1" t="s">
        <v>17</v>
      </c>
    </row>
    <row r="7" spans="1:11">
      <c r="A7" t="s">
        <v>20</v>
      </c>
      <c r="B7" s="2">
        <v>-100</v>
      </c>
      <c r="D7" t="s">
        <v>20</v>
      </c>
      <c r="E7" s="1">
        <f>SUMPRODUCT($B$3, B7)/E$5</f>
        <v>0</v>
      </c>
      <c r="F7" s="1">
        <f>SUMPRODUCT($B$4, B7)/F$5</f>
        <v>0</v>
      </c>
      <c r="G7" s="1">
        <f>SUMPRODUCT($B$5, B7)/G$5</f>
        <v>0</v>
      </c>
      <c r="I7" s="1">
        <f>ROUND(F7*10)/10</f>
        <v>0</v>
      </c>
      <c r="J7" s="1">
        <f>ROUND(G7*10)/10</f>
        <v>0</v>
      </c>
      <c r="K7" s="1">
        <f>ROUND(AVERAGE(I7,J7)*10)/10</f>
        <v>0</v>
      </c>
    </row>
    <row r="8" spans="1:11">
      <c r="A8" t="s">
        <v>21</v>
      </c>
      <c r="B8" s="2">
        <v>-100</v>
      </c>
      <c r="D8" t="s">
        <v>21</v>
      </c>
      <c r="E8" s="1">
        <f>SUMPRODUCT($B$3, B8)/E$5</f>
        <v>0</v>
      </c>
      <c r="F8" s="1">
        <f>SUMPRODUCT($B$4, B8)/F$5</f>
        <v>0</v>
      </c>
      <c r="G8" s="1">
        <f>SUMPRODUCT($B$5, B8)/G$5</f>
        <v>0</v>
      </c>
      <c r="I8" s="1">
        <f>ROUND(F8*10)/10</f>
        <v>0</v>
      </c>
      <c r="J8" s="1">
        <f>ROUND(G8*10)/10</f>
        <v>0</v>
      </c>
      <c r="K8" s="1">
        <f>ROUND(AVERAGE(I8,J8)*10)/10</f>
        <v>0</v>
      </c>
    </row>
    <row r="9" spans="1:11">
      <c r="A9" t="s">
        <v>22</v>
      </c>
      <c r="B9" s="2">
        <v>-100</v>
      </c>
      <c r="D9" t="s">
        <v>22</v>
      </c>
      <c r="E9" s="1">
        <f>SUMPRODUCT($B$3, B9)/E$5</f>
        <v>0</v>
      </c>
      <c r="F9" s="1">
        <f>SUMPRODUCT($B$4, B9)/F$5</f>
        <v>0</v>
      </c>
      <c r="G9" s="1">
        <f>SUMPRODUCT($B$5, B9)/G$5</f>
        <v>0</v>
      </c>
      <c r="I9" s="1">
        <f>ROUND(F9*10)/10</f>
        <v>0</v>
      </c>
      <c r="J9" s="1">
        <f>ROUND(G9*10)/10</f>
        <v>0</v>
      </c>
      <c r="K9" s="1">
        <f>ROUND(AVERAGE(I9,J9)*10)/10</f>
        <v>0</v>
      </c>
    </row>
    <row r="10" spans="1:11">
      <c r="A10" t="s">
        <v>23</v>
      </c>
      <c r="B10" s="2">
        <v>-100</v>
      </c>
      <c r="D10" t="s">
        <v>23</v>
      </c>
      <c r="E10" s="1">
        <f>SUMPRODUCT($B$3, B10)/E$5</f>
        <v>0</v>
      </c>
      <c r="F10" s="1">
        <f>SUMPRODUCT($B$4, B10)/F$5</f>
        <v>0</v>
      </c>
      <c r="G10" s="1">
        <f>SUMPRODUCT($B$5, B10)/G$5</f>
        <v>0</v>
      </c>
      <c r="I10" s="1">
        <f>ROUND(F10*10)/10</f>
        <v>0</v>
      </c>
      <c r="J10" s="1">
        <f>ROUND(G10*10)/10</f>
        <v>0</v>
      </c>
      <c r="K10" s="1">
        <f>ROUND(AVERAGE(I10,J10)*10)/10</f>
        <v>0</v>
      </c>
    </row>
    <row r="11" spans="1:11">
      <c r="A11" t="s">
        <v>24</v>
      </c>
      <c r="B11" s="2">
        <v>-100</v>
      </c>
      <c r="D11" t="s">
        <v>24</v>
      </c>
      <c r="E11" s="1">
        <f>SUMPRODUCT($B$3, B11)/E$5</f>
        <v>0</v>
      </c>
      <c r="F11" s="1">
        <f>SUMPRODUCT($B$4, B11)/F$5</f>
        <v>0</v>
      </c>
      <c r="G11" s="1">
        <f>SUMPRODUCT($B$5, B11)/G$5</f>
        <v>0</v>
      </c>
      <c r="I11" s="1">
        <f>ROUND(F11*10)/10</f>
        <v>0</v>
      </c>
      <c r="J11" s="1">
        <f>ROUND(G11*10)/10</f>
        <v>0</v>
      </c>
      <c r="K11" s="1">
        <f>ROUND(AVERAGE(I11,J11)*10)/10</f>
        <v>0</v>
      </c>
    </row>
    <row r="12" spans="1:11">
      <c r="A12" t="s">
        <v>25</v>
      </c>
      <c r="B12" s="2">
        <v>-100</v>
      </c>
      <c r="D12" t="s">
        <v>25</v>
      </c>
      <c r="E12" s="1">
        <f>SUMPRODUCT($B$3, B12)/E$5</f>
        <v>0</v>
      </c>
      <c r="F12" s="1">
        <f>SUMPRODUCT($B$4, B12)/F$5</f>
        <v>0</v>
      </c>
      <c r="G12" s="1">
        <f>SUMPRODUCT($B$5, B12)/G$5</f>
        <v>0</v>
      </c>
      <c r="I12" s="1">
        <f>ROUND(F12*10)/10</f>
        <v>0</v>
      </c>
      <c r="J12" s="1">
        <f>ROUND(G12*10)/10</f>
        <v>0</v>
      </c>
      <c r="K12" s="1">
        <f>ROUND(AVERAGE(I12,J12)*10)/10</f>
        <v>0</v>
      </c>
    </row>
    <row r="13" spans="1:11">
      <c r="A13" t="s">
        <v>26</v>
      </c>
      <c r="B13" s="2">
        <v>-100</v>
      </c>
      <c r="D13" t="s">
        <v>26</v>
      </c>
      <c r="E13" s="1">
        <f>SUMPRODUCT($B$3, B13)/E$5</f>
        <v>0</v>
      </c>
      <c r="F13" s="1">
        <f>SUMPRODUCT($B$4, B13)/F$5</f>
        <v>0</v>
      </c>
      <c r="G13" s="1">
        <f>SUMPRODUCT($B$5, B13)/G$5</f>
        <v>0</v>
      </c>
      <c r="I13" s="1">
        <f>ROUND(F13*10)/10</f>
        <v>0</v>
      </c>
      <c r="J13" s="1">
        <f>ROUND(G13*10)/10</f>
        <v>0</v>
      </c>
      <c r="K13" s="1">
        <f>ROUND(AVERAGE(I13,J13)*10)/10</f>
        <v>0</v>
      </c>
    </row>
    <row r="14" spans="1:11">
      <c r="A14" t="s">
        <v>27</v>
      </c>
      <c r="B14" s="2">
        <v>-100</v>
      </c>
      <c r="D14" t="s">
        <v>27</v>
      </c>
      <c r="E14" s="1">
        <f>SUMPRODUCT($B$3, B14)/E$5</f>
        <v>0</v>
      </c>
      <c r="F14" s="1">
        <f>SUMPRODUCT($B$4, B14)/F$5</f>
        <v>0</v>
      </c>
      <c r="G14" s="1">
        <f>SUMPRODUCT($B$5, B14)/G$5</f>
        <v>0</v>
      </c>
      <c r="I14" s="1">
        <f>ROUND(F14*10)/10</f>
        <v>0</v>
      </c>
      <c r="J14" s="1">
        <f>ROUND(G14*10)/10</f>
        <v>0</v>
      </c>
      <c r="K14" s="1">
        <f>ROUND(AVERAGE(I14,J14)*10)/10</f>
        <v>0</v>
      </c>
    </row>
    <row r="15" spans="1:11">
      <c r="A15" t="s">
        <v>28</v>
      </c>
      <c r="B15" s="2">
        <v>-100</v>
      </c>
      <c r="D15" t="s">
        <v>28</v>
      </c>
      <c r="E15" s="1">
        <f>SUMPRODUCT($B$3, B15)/E$5</f>
        <v>0</v>
      </c>
      <c r="F15" s="1">
        <f>SUMPRODUCT($B$4, B15)/F$5</f>
        <v>0</v>
      </c>
      <c r="G15" s="1">
        <f>SUMPRODUCT($B$5, B15)/G$5</f>
        <v>0</v>
      </c>
      <c r="I15" s="1">
        <f>ROUND(F15*10)/10</f>
        <v>0</v>
      </c>
      <c r="J15" s="1">
        <f>ROUND(G15*10)/10</f>
        <v>0</v>
      </c>
      <c r="K15" s="1">
        <f>ROUND(AVERAGE(I15,J15)*10)/10</f>
        <v>0</v>
      </c>
    </row>
    <row r="16" spans="1:11">
      <c r="A16" t="s">
        <v>29</v>
      </c>
      <c r="B16" s="2">
        <v>-100</v>
      </c>
      <c r="D16" t="s">
        <v>29</v>
      </c>
      <c r="E16" s="1">
        <f>SUMPRODUCT($B$3, B16)/E$5</f>
        <v>0</v>
      </c>
      <c r="F16" s="1">
        <f>SUMPRODUCT($B$4, B16)/F$5</f>
        <v>0</v>
      </c>
      <c r="G16" s="1">
        <f>SUMPRODUCT($B$5, B16)/G$5</f>
        <v>0</v>
      </c>
      <c r="I16" s="1">
        <f>ROUND(F16*10)/10</f>
        <v>0</v>
      </c>
      <c r="J16" s="1">
        <f>ROUND(G16*10)/10</f>
        <v>0</v>
      </c>
      <c r="K16" s="1">
        <f>ROUND(AVERAGE(I16,J16)*10)/10</f>
        <v>0</v>
      </c>
    </row>
    <row r="17" spans="1:11">
      <c r="A17" t="s">
        <v>30</v>
      </c>
      <c r="B17" s="2">
        <v>-100</v>
      </c>
      <c r="D17" t="s">
        <v>30</v>
      </c>
      <c r="E17" s="1">
        <f>SUMPRODUCT($B$3, B17)/E$5</f>
        <v>0</v>
      </c>
      <c r="F17" s="1">
        <f>SUMPRODUCT($B$4, B17)/F$5</f>
        <v>0</v>
      </c>
      <c r="G17" s="1">
        <f>SUMPRODUCT($B$5, B17)/G$5</f>
        <v>0</v>
      </c>
      <c r="I17" s="1">
        <f>ROUND(F17*10)/10</f>
        <v>0</v>
      </c>
      <c r="J17" s="1">
        <f>ROUND(G17*10)/10</f>
        <v>0</v>
      </c>
      <c r="K17" s="1">
        <f>ROUND(AVERAGE(I17,J17)*10)/10</f>
        <v>0</v>
      </c>
    </row>
    <row r="18" spans="1:11">
      <c r="A18" t="s">
        <v>31</v>
      </c>
      <c r="B18" s="2">
        <v>-100</v>
      </c>
      <c r="D18" t="s">
        <v>31</v>
      </c>
      <c r="E18" s="1">
        <f>SUMPRODUCT($B$3, B18)/E$5</f>
        <v>0</v>
      </c>
      <c r="F18" s="1">
        <f>SUMPRODUCT($B$4, B18)/F$5</f>
        <v>0</v>
      </c>
      <c r="G18" s="1">
        <f>SUMPRODUCT($B$5, B18)/G$5</f>
        <v>0</v>
      </c>
      <c r="I18" s="1">
        <f>ROUND(F18*10)/10</f>
        <v>0</v>
      </c>
      <c r="J18" s="1">
        <f>ROUND(G18*10)/10</f>
        <v>0</v>
      </c>
      <c r="K18" s="1">
        <f>ROUND(AVERAGE(I18,J18)*10)/10</f>
        <v>0</v>
      </c>
    </row>
    <row r="19" spans="1:11">
      <c r="A19" t="s">
        <v>32</v>
      </c>
      <c r="B19" s="2">
        <v>-100</v>
      </c>
      <c r="D19" t="s">
        <v>32</v>
      </c>
      <c r="E19" s="1">
        <f>SUMPRODUCT($B$3, B19)/E$5</f>
        <v>0</v>
      </c>
      <c r="F19" s="1">
        <f>SUMPRODUCT($B$4, B19)/F$5</f>
        <v>0</v>
      </c>
      <c r="G19" s="1">
        <f>SUMPRODUCT($B$5, B19)/G$5</f>
        <v>0</v>
      </c>
      <c r="I19" s="1">
        <f>ROUND(F19*10)/10</f>
        <v>0</v>
      </c>
      <c r="J19" s="1">
        <f>ROUND(G19*10)/10</f>
        <v>0</v>
      </c>
      <c r="K19" s="1">
        <f>ROUND(AVERAGE(I19,J19)*10)/10</f>
        <v>0</v>
      </c>
    </row>
    <row r="20" spans="1:11">
      <c r="A20" t="s">
        <v>33</v>
      </c>
      <c r="B20" s="2">
        <v>-100</v>
      </c>
      <c r="D20" t="s">
        <v>33</v>
      </c>
      <c r="E20" s="1">
        <f>SUMPRODUCT($B$3, B20)/E$5</f>
        <v>0</v>
      </c>
      <c r="F20" s="1">
        <f>SUMPRODUCT($B$4, B20)/F$5</f>
        <v>0</v>
      </c>
      <c r="G20" s="1">
        <f>SUMPRODUCT($B$5, B20)/G$5</f>
        <v>0</v>
      </c>
      <c r="I20" s="1">
        <f>ROUND(F20*10)/10</f>
        <v>0</v>
      </c>
      <c r="J20" s="1">
        <f>ROUND(G20*10)/10</f>
        <v>0</v>
      </c>
      <c r="K20" s="1">
        <f>ROUND(AVERAGE(I20,J20)*10)/10</f>
        <v>0</v>
      </c>
    </row>
    <row r="21" spans="1:11">
      <c r="A21" t="s">
        <v>34</v>
      </c>
      <c r="B21" s="2">
        <v>-100</v>
      </c>
      <c r="D21" t="s">
        <v>34</v>
      </c>
      <c r="E21" s="1">
        <f>SUMPRODUCT($B$3, B21)/E$5</f>
        <v>0</v>
      </c>
      <c r="F21" s="1">
        <f>SUMPRODUCT($B$4, B21)/F$5</f>
        <v>0</v>
      </c>
      <c r="G21" s="1">
        <f>SUMPRODUCT($B$5, B21)/G$5</f>
        <v>0</v>
      </c>
      <c r="I21" s="1">
        <f>ROUND(F21*10)/10</f>
        <v>0</v>
      </c>
      <c r="J21" s="1">
        <f>ROUND(G21*10)/10</f>
        <v>0</v>
      </c>
      <c r="K21" s="1">
        <f>ROUND(AVERAGE(I21,J21)*10)/10</f>
        <v>0</v>
      </c>
    </row>
    <row r="22" spans="1:11">
      <c r="A22" t="s">
        <v>35</v>
      </c>
      <c r="B22" s="2">
        <v>-100</v>
      </c>
      <c r="D22" t="s">
        <v>35</v>
      </c>
      <c r="E22" s="1">
        <f>SUMPRODUCT($B$3, B22)/E$5</f>
        <v>0</v>
      </c>
      <c r="F22" s="1">
        <f>SUMPRODUCT($B$4, B22)/F$5</f>
        <v>0</v>
      </c>
      <c r="G22" s="1">
        <f>SUMPRODUCT($B$5, B22)/G$5</f>
        <v>0</v>
      </c>
      <c r="I22" s="1">
        <f>ROUND(F22*10)/10</f>
        <v>0</v>
      </c>
      <c r="J22" s="1">
        <f>ROUND(G22*10)/10</f>
        <v>0</v>
      </c>
      <c r="K22" s="1">
        <f>ROUND(AVERAGE(I22,J22)*10)/10</f>
        <v>0</v>
      </c>
    </row>
    <row r="23" spans="1:11">
      <c r="A23" t="s">
        <v>36</v>
      </c>
      <c r="B23" s="2">
        <v>-100</v>
      </c>
      <c r="D23" t="s">
        <v>36</v>
      </c>
      <c r="E23" s="1">
        <f>SUMPRODUCT($B$3, B23)/E$5</f>
        <v>0</v>
      </c>
      <c r="F23" s="1">
        <f>SUMPRODUCT($B$4, B23)/F$5</f>
        <v>0</v>
      </c>
      <c r="G23" s="1">
        <f>SUMPRODUCT($B$5, B23)/G$5</f>
        <v>0</v>
      </c>
      <c r="I23" s="1">
        <f>ROUND(F23*10)/10</f>
        <v>0</v>
      </c>
      <c r="J23" s="1">
        <f>ROUND(G23*10)/10</f>
        <v>0</v>
      </c>
      <c r="K23" s="1">
        <f>ROUND(AVERAGE(I23,J23)*10)/10</f>
        <v>0</v>
      </c>
    </row>
    <row r="24" spans="1:11">
      <c r="A24" t="s">
        <v>37</v>
      </c>
      <c r="B24" s="2">
        <v>-100</v>
      </c>
      <c r="D24" t="s">
        <v>37</v>
      </c>
      <c r="E24" s="1">
        <f>SUMPRODUCT($B$3, B24)/E$5</f>
        <v>0</v>
      </c>
      <c r="F24" s="1">
        <f>SUMPRODUCT($B$4, B24)/F$5</f>
        <v>0</v>
      </c>
      <c r="G24" s="1">
        <f>SUMPRODUCT($B$5, B24)/G$5</f>
        <v>0</v>
      </c>
      <c r="I24" s="1">
        <f>ROUND(F24*10)/10</f>
        <v>0</v>
      </c>
      <c r="J24" s="1">
        <f>ROUND(G24*10)/10</f>
        <v>0</v>
      </c>
      <c r="K24" s="1">
        <f>ROUND(AVERAGE(I24,J24)*10)/10</f>
        <v>0</v>
      </c>
    </row>
    <row r="25" spans="1:11">
      <c r="A25" t="s">
        <v>38</v>
      </c>
      <c r="B25" s="2">
        <v>-100</v>
      </c>
      <c r="D25" t="s">
        <v>38</v>
      </c>
      <c r="E25" s="1">
        <f>SUMPRODUCT($B$3, B25)/E$5</f>
        <v>0</v>
      </c>
      <c r="F25" s="1">
        <f>SUMPRODUCT($B$4, B25)/F$5</f>
        <v>0</v>
      </c>
      <c r="G25" s="1">
        <f>SUMPRODUCT($B$5, B25)/G$5</f>
        <v>0</v>
      </c>
      <c r="I25" s="1">
        <f>ROUND(F25*10)/10</f>
        <v>0</v>
      </c>
      <c r="J25" s="1">
        <f>ROUND(G25*10)/10</f>
        <v>0</v>
      </c>
      <c r="K25" s="1">
        <f>ROUND(AVERAGE(I25,J25)*10)/10</f>
        <v>0</v>
      </c>
    </row>
    <row r="26" spans="1:11">
      <c r="A26" t="s">
        <v>39</v>
      </c>
      <c r="B26" s="2">
        <v>-100</v>
      </c>
      <c r="D26" t="s">
        <v>39</v>
      </c>
      <c r="E26" s="1">
        <f>SUMPRODUCT($B$3, B26)/E$5</f>
        <v>0</v>
      </c>
      <c r="F26" s="1">
        <f>SUMPRODUCT($B$4, B26)/F$5</f>
        <v>0</v>
      </c>
      <c r="G26" s="1">
        <f>SUMPRODUCT($B$5, B26)/G$5</f>
        <v>0</v>
      </c>
      <c r="I26" s="1">
        <f>ROUND(F26*10)/10</f>
        <v>0</v>
      </c>
      <c r="J26" s="1">
        <f>ROUND(G26*10)/10</f>
        <v>0</v>
      </c>
      <c r="K26" s="1">
        <f>ROUND(AVERAGE(I26,J26)*10)/10</f>
        <v>0</v>
      </c>
    </row>
    <row r="27" spans="1:11">
      <c r="A27" t="s">
        <v>40</v>
      </c>
      <c r="B27" s="2">
        <v>-100</v>
      </c>
      <c r="D27" t="s">
        <v>40</v>
      </c>
      <c r="E27" s="1">
        <f>SUMPRODUCT($B$3, B27)/E$5</f>
        <v>0</v>
      </c>
      <c r="F27" s="1">
        <f>SUMPRODUCT($B$4, B27)/F$5</f>
        <v>0</v>
      </c>
      <c r="G27" s="1">
        <f>SUMPRODUCT($B$5, B27)/G$5</f>
        <v>0</v>
      </c>
      <c r="I27" s="1">
        <f>ROUND(F27*10)/10</f>
        <v>0</v>
      </c>
      <c r="J27" s="1">
        <f>ROUND(G27*10)/10</f>
        <v>0</v>
      </c>
      <c r="K27" s="1">
        <f>ROUND(AVERAGE(I27,J27)*10)/10</f>
        <v>0</v>
      </c>
    </row>
    <row r="28" spans="1:11">
      <c r="A28" t="s">
        <v>41</v>
      </c>
      <c r="B28" s="2">
        <v>-100</v>
      </c>
      <c r="D28" t="s">
        <v>41</v>
      </c>
      <c r="E28" s="1">
        <f>SUMPRODUCT($B$3, B28)/E$5</f>
        <v>0</v>
      </c>
      <c r="F28" s="1">
        <f>SUMPRODUCT($B$4, B28)/F$5</f>
        <v>0</v>
      </c>
      <c r="G28" s="1">
        <f>SUMPRODUCT($B$5, B28)/G$5</f>
        <v>0</v>
      </c>
      <c r="I28" s="1">
        <f>ROUND(F28*10)/10</f>
        <v>0</v>
      </c>
      <c r="J28" s="1">
        <f>ROUND(G28*10)/10</f>
        <v>0</v>
      </c>
      <c r="K28" s="1">
        <f>ROUND(AVERAGE(I28,J28)*10)/10</f>
        <v>0</v>
      </c>
    </row>
    <row r="29" spans="1:11">
      <c r="A29" t="s">
        <v>42</v>
      </c>
      <c r="B29" s="2">
        <v>-100</v>
      </c>
      <c r="D29" t="s">
        <v>42</v>
      </c>
      <c r="E29" s="1">
        <f>SUMPRODUCT($B$3, B29)/E$5</f>
        <v>0</v>
      </c>
      <c r="F29" s="1">
        <f>SUMPRODUCT($B$4, B29)/F$5</f>
        <v>0</v>
      </c>
      <c r="G29" s="1">
        <f>SUMPRODUCT($B$5, B29)/G$5</f>
        <v>0</v>
      </c>
      <c r="I29" s="1">
        <f>ROUND(F29*10)/10</f>
        <v>0</v>
      </c>
      <c r="J29" s="1">
        <f>ROUND(G29*10)/10</f>
        <v>0</v>
      </c>
      <c r="K29" s="1">
        <f>ROUND(AVERAGE(I29,J29)*10)/10</f>
        <v>0</v>
      </c>
    </row>
  </sheetData>
  <conditionalFormatting sqref="E7:G29">
    <cfRule type="cellIs" dxfId="0" priority="1" operator="between">
      <formula>-100.0</formula>
      <formula>3.945</formula>
    </cfRule>
  </conditionalFormatting>
  <conditionalFormatting sqref="I7:K29">
    <cfRule type="cellIs" dxfId="0" priority="2" operator="between">
      <formula>-100.0</formula>
      <formula>3.945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1ma1df01</vt:lpstr>
      <vt:lpstr>2ma2dfb01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2026-03-31T16:19:41Z</dcterms:created>
  <dcterms:modified xsi:type="dcterms:W3CDTF">2026-03-31T16:19:41Z</dcterms:modified>
</cp:coreProperties>
</file>